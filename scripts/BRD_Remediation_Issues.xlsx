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 Tracker" sheetId="2" state="visible" r:id="rId4"/>
  </sheets>
  <definedNames>
    <definedName function="false" hidden="true" localSheetId="1" name="_xlnm._FilterDatabase" vbProcedure="false">'Issues Tracker'!$A$1:$H$24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<sst xmlns="http://schemas.openxmlformats.org/spreadsheetml/2006/main" count="147" uniqueCount="87">
  <si>
    <t xml:space="preserve">BRD Time Tracker — Remediation Issue Tracker</t>
  </si>
  <si>
    <t xml:space="preserve">Generated</t>
  </si>
  <si>
    <t xml:space="preserve">2026-04-18</t>
  </si>
  <si>
    <t xml:space="preserve">Source</t>
  </si>
  <si>
    <t xml:space="preserve">RISK_REMEDIATION.md</t>
  </si>
  <si>
    <t xml:space="preserve">Totals</t>
  </si>
  <si>
    <t xml:space="preserve">Total issues</t>
  </si>
  <si>
    <t xml:space="preserve">Critical</t>
  </si>
  <si>
    <t xml:space="preserve">Important</t>
  </si>
  <si>
    <t xml:space="preserve">Low</t>
  </si>
  <si>
    <t xml:space="preserve">Status breakdown</t>
  </si>
  <si>
    <t xml:space="preserve">Not Started</t>
  </si>
  <si>
    <t xml:space="preserve">In Progress</t>
  </si>
  <si>
    <t xml:space="preserve">Done</t>
  </si>
  <si>
    <t xml:space="preserve">Blocked</t>
  </si>
  <si>
    <t xml:space="preserve">Roadmap windows</t>
  </si>
  <si>
    <t xml:space="preserve">Week 1 (Critical fixes)</t>
  </si>
  <si>
    <t xml:space="preserve">2026-04-20 to 2026-04-24</t>
  </si>
  <si>
    <t xml:space="preserve">Week 2 (Important fixes)</t>
  </si>
  <si>
    <t xml:space="preserve">2026-04-27 to 2026-05-01</t>
  </si>
  <si>
    <t xml:space="preserve">Month 2 (Ideal architecture)</t>
  </si>
  <si>
    <t xml:space="preserve">2026-05-04 to 2026-05-22</t>
  </si>
  <si>
    <t xml:space="preserve">Ongoing / background</t>
  </si>
  <si>
    <t xml:space="preserve">2026-05-25 onward</t>
  </si>
  <si>
    <t xml:space="preserve">Sno</t>
  </si>
  <si>
    <t xml:space="preserve">Title</t>
  </si>
  <si>
    <t xml:space="preserve">Issue Description</t>
  </si>
  <si>
    <t xml:space="preserve">Severity</t>
  </si>
  <si>
    <t xml:space="preserve">Assignee</t>
  </si>
  <si>
    <t xml:space="preserve">Start Date</t>
  </si>
  <si>
    <t xml:space="preserve">End Date</t>
  </si>
  <si>
    <t xml:space="preserve">Status</t>
  </si>
  <si>
    <t xml:space="preserve">Webhook HMAC signatures for Edge Functions</t>
  </si>
  <si>
    <t xml:space="preserve">screenshot-webhook and activity-webhook have verify_jwt=false and no HMAC. Any actor with the URL can POST into any tenant's data. Add HMAC-SHA256 signature + timestamp header and verify with crypto.timingSafeEqual. Per-org secret stored in organizations.webhook_secret.</t>
  </si>
  <si>
    <t xml:space="preserve">Security Engineer</t>
  </si>
  <si>
    <t xml:space="preserve">Enforce table allowlist in Forge proxy</t>
  </si>
  <si>
    <t xml:space="preserve">forge-proxy-controller.js only logs warnings on sensitive tables. Service-role client bypasses RLS. Convert SENSITIVE_TABLES to a hard PROXY_POLICY allowlist with per-table ops, required filters, and column allowlists. Default-deny.</t>
  </si>
  <si>
    <t xml:space="preserve">Backend Engineer</t>
  </si>
  <si>
    <t xml:space="preserve">Add Postgres advisory lock around background services</t>
  </si>
  <si>
    <t xml:space="preserve">activity-polling (setInterval 3min), clustering (setTimeout daily), notifications services are single-instance with no distributed lock. Under Cloud Run scale-out they duplicate work and load. Wrap each tick in pg_try_advisory_lock(hashtext(serviceName)).</t>
  </si>
  <si>
    <t xml:space="preserve">Move admin dashboard sessions to Supabase table</t>
  </si>
  <si>
    <t xml:space="preserve">admin-dashboard-controller.js stores sessions in a Map. Cloud Run horizontal scaling / deploys wipe sessions. Create admin_sessions table, wrap set/get/delete in an adminSessionStore module, keep 30s in-process LRU cache for latency.</t>
  </si>
  <si>
    <t xml:space="preserve">Remove asApp() fallback in scheduled worklog sync</t>
  </si>
  <si>
    <t xml:space="preserve">scheduledWorklogSync.js falls back to createJiraWorklogAsApp when asUser throws AUTH_TYPE_UNAVAILABLE, breaking per-user attribution (the product's core value). Write a PENDING row instead so interactive sync creates the worklog with correct user attribution on next app open.</t>
  </si>
  <si>
    <t xml:space="preserve">Forge/Backend Engineer</t>
  </si>
  <si>
    <t xml:space="preserve">Delete update-issues-cache stub Edge Function</t>
  </si>
  <si>
    <t xml:space="preserve">supabase/functions/update-issues-cache/index.ts is an explicit placeholder (TODO: Implement actual cache update mechanism) that returns success without doing anything. Delete the function and any cron calling it. Forge manifest already handles cache refresh via avi:jira:updated:issue.</t>
  </si>
  <si>
    <t xml:space="preserve">Update Forge KVS clearSiteCache to enumerate keys</t>
  </si>
  <si>
    <t xml:space="preserve">lifecycleService.js comment says KVS doesn't support enumeration. Outdated: @forge/kvs now supports kvs.query().where('key', WhereConditions.beginsWith(prefix)).getMany() with cursor pagination. Replace hardcoded two-key delete with query-based cleanup on uninstall.</t>
  </si>
  <si>
    <t xml:space="preserve">Forge Engineer</t>
  </si>
  <si>
    <t xml:space="preserve">Add 5-minute LRU cache for Atlassian /me endpoint</t>
  </si>
  <si>
    <t xml:space="preserve">atlassian-auth.js and dashboard-auth.js hit Atlassian APIs on every request (1-3 calls, ~400-900ms TTFB). Add in-process LRU keyed by sha256(token) with 5-min TTL. For dashboard-auth, cache all three results (/me, /accessible-resources, /mypermissions) together.</t>
  </si>
  <si>
    <t xml:space="preserve">Add exponential backoff to activity polling service</t>
  </si>
  <si>
    <t xml:space="preserve">activity-polling-service.js has fixed 3-min interval with no backoff on failure. Track consecutive failures and multiply interval by 2x up to 30-min cap. Convert from setInterval to self-rescheduling setTimeout.</t>
  </si>
  <si>
    <t xml:space="preserve">Add size cap and auto-VACUUM for offline SQLite</t>
  </si>
  <si>
    <t xml:space="preserve">OfflineManager (desktop_app.py line 2229) has no file size check, no TTL on synced rows. On startup, if DB &gt; 500MB, delete synced rows older than 14 days and run VACUUM INTO. Prevents unbounded growth for offline or sync-blocked users.</t>
  </si>
  <si>
    <t xml:space="preserve">Desktop Engineer</t>
  </si>
  <si>
    <t xml:space="preserve">Log AI confidence score and add UI transparency tooltip</t>
  </si>
  <si>
    <t xml:space="preserve">activity-db-service.js uses MIN_CONFIDENCE_THRESHOLD (default 0.5) to decide assignment silently. Log confidenceScore into activity_records.metadata. Add 'Why unassigned?' tooltip in UI explaining AI confidence was below threshold.</t>
  </si>
  <si>
    <t xml:space="preserve">Full-Stack Engineer</t>
  </si>
  <si>
    <t xml:space="preserve">Tighten duplicate-user heuristic to equality-only match</t>
  </si>
  <si>
    <t xml:space="preserve">issueQueryService.js uses substring match on Atlassian account IDs (otherId.includes(currentId)) which can match unrelated accounts. Remove substring branch; keep email equality match only. Prepare for schema-level fix.</t>
  </si>
  <si>
    <t xml:space="preserve">Add admin email allowlist alongside password</t>
  </si>
  <si>
    <t xml:space="preserve">admin-dashboard-controller.js uses a single shared ADMIN_DASHBOARD_PASSWORD. Add ADMIN_EMAIL_ALLOWLIST env var and require email + password. Stops any single env-var leak from compromising all admin access.</t>
  </si>
  <si>
    <t xml:space="preserve">Replace polling services with pg-boss on Cloud Run Jobs</t>
  </si>
  <si>
    <t xml:space="preserve">Replace three self-scheduled services (activity, clustering, notifications) with pg-boss queues. Use Cloud Scheduler + Cloud Run Jobs for scheduled clustering. Provides exactly-once delivery, retries, dead-letter, and decouples worker from API scaling.</t>
  </si>
  <si>
    <t xml:space="preserve">Backend / DevOps Engineer</t>
  </si>
  <si>
    <t xml:space="preserve">Migrate server logs to Pino with structured redaction</t>
  </si>
  <si>
    <t xml:space="preserve">Replace regex-based log-sanitizer with Pino redact config keyed on JSON paths (e.g. *.email, *.token). Keep existing regex as second-pass belt-and-suspenders. Emits structured JSON logs queryable in Cloud Logging.</t>
  </si>
  <si>
    <t xml:space="preserve">Replace generic Forge proxy with named RPC endpoints</t>
  </si>
  <si>
    <t xml:space="preserve">Replace POST /api/forge/proxy (table/operation pattern) with named endpoints like /api/forge/activity/query, /api/forge/worklog/sync. Move business logic server-side; make API enumerable. Use a role-scoped Postgres user, not service role.</t>
  </si>
  <si>
    <t xml:space="preserve">Migrate admin dashboard to Supabase Auth with MFA + audit log</t>
  </si>
  <si>
    <t xml:space="preserve">Replace hand-rolled session tokens with Supabase Auth. Enforce admin allowlist via RLS. Enable TOTP MFA. Write every admin action to an append-only admin_audit table.</t>
  </si>
  <si>
    <t xml:space="preserve">Fix duplicate users/orgs in schema + one-time data migration</t>
  </si>
  <si>
    <t xml:space="preserve">Merge duplicate organizations by jira_cloud_id into oldest row; merge duplicate users by (organization_id, atlassian_account_id). Add unique constraints. Delete the heuristic dual-read code in issueQueryService and scheduledWorklogSync once clean.</t>
  </si>
  <si>
    <t xml:space="preserve">Backend / Data Engineer</t>
  </si>
  <si>
    <t xml:space="preserve">Document CORS no-origin allow as deliberate design choice</t>
  </si>
  <si>
    <t xml:space="preserve">ai-server/src/index.js allows no-origin requests for desktop/Forge/server-to-server clients. This is correct but not a security boundary. Expand existing comment to enumerate the three callers and clarify auth is enforced in middleware.</t>
  </si>
  <si>
    <t xml:space="preserve">Document desktop secure-storage threat model</t>
  </si>
  <si>
    <t xml:space="preserve">secure_storage.py already uses OWASP-compliant PBKDF2+AES fallback. Add python-desktop-app/SECURITY.md clarifying threat model: defends against cold-disk extraction and cross-machine copying; does not defend against malware running as the user.</t>
  </si>
  <si>
    <t xml:space="preserve">Desktop / Security Engineer</t>
  </si>
  <si>
    <t xml:space="preserve">Secure /reset-upload-lock endpoint with admin auth + rate limit</t>
  </si>
  <si>
    <t xml:space="preserve">Require admin auth, add 1/min rate limit per user, log every call to admin audit log with caller and target upload ID.</t>
  </si>
  <si>
    <t xml:space="preserve">Establish quarterly log-sanitizer pattern review</t>
  </si>
  <si>
    <t xml:space="preserve">Add to engineering runbook: quarterly grep diff of logger.info|warn|error call sites vs. sanitizer patterns in log-sanitizer.js. Catches drift when new sensitive fields are added.</t>
  </si>
  <si>
    <t xml:space="preserve">Incrementally split desktop_app.py into modules</t>
  </si>
  <si>
    <t xml:space="preserve">563 KB single-file Python app hurts onboarding and test coverage. Split opportunistically by responsibility (tray/, capture/, sync/, idle/) as areas are touched. No big-bang rewrite.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</si>
</sst>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6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5</v>
      </c>
      <c r="B5" s="2"/>
    </row>
    <row r="6" customFormat="false" ht="15" hidden="false" customHeight="false" outlineLevel="0" collapsed="false">
      <c r="A6" s="2" t="s">
        <v>6</v>
      </c>
      <c r="B6" s="2" t="n">
        <f aca="false">COUNTA('Issues Tracker'!A2:A24)</f>
        <v>23</v>
      </c>
    </row>
    <row r="7" customFormat="false" ht="15" hidden="false" customHeight="false" outlineLevel="0" collapsed="false">
      <c r="A7" s="2" t="s">
        <v>7</v>
      </c>
      <c r="B7" s="2" t="n">
        <f aca="false">COUNTIF('Issues Tracker'!D2:D24,"Critical")</f>
        <v>7</v>
      </c>
    </row>
    <row r="8" customFormat="false" ht="15" hidden="false" customHeight="false" outlineLevel="0" collapsed="false">
      <c r="A8" s="2" t="s">
        <v>8</v>
      </c>
      <c r="B8" s="2" t="n">
        <f aca="false">COUNTIF('Issues Tracker'!D2:D24,"Important")</f>
        <v>11</v>
      </c>
    </row>
    <row r="9" customFormat="false" ht="15" hidden="false" customHeight="false" outlineLevel="0" collapsed="false">
      <c r="A9" s="2" t="s">
        <v>9</v>
      </c>
      <c r="B9" s="2" t="n">
        <f aca="false">COUNTIF('Issues Tracker'!D2:D24,"Low")</f>
        <v>5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10</v>
      </c>
      <c r="B11" s="2"/>
    </row>
    <row r="12" customFormat="false" ht="15" hidden="false" customHeight="false" outlineLevel="0" collapsed="false">
      <c r="A12" s="2" t="s">
        <v>11</v>
      </c>
      <c r="B12" s="2" t="n">
        <f aca="false">COUNTIF('Issues Tracker'!H2:H24,"Not Started")</f>
        <v>23</v>
      </c>
    </row>
    <row r="13" customFormat="false" ht="15" hidden="false" customHeight="false" outlineLevel="0" collapsed="false">
      <c r="A13" s="2" t="s">
        <v>12</v>
      </c>
      <c r="B13" s="2" t="n">
        <f aca="false">COUNTIF('Issues Tracker'!H2:H24,"In Progress")</f>
        <v>0</v>
      </c>
    </row>
    <row r="14" customFormat="false" ht="15" hidden="false" customHeight="false" outlineLevel="0" collapsed="false">
      <c r="A14" s="2" t="s">
        <v>13</v>
      </c>
      <c r="B14" s="2" t="n">
        <f aca="false">COUNTIF('Issues Tracker'!H2:H24,"Done")</f>
        <v>0</v>
      </c>
    </row>
    <row r="15" customFormat="false" ht="15" hidden="false" customHeight="false" outlineLevel="0" collapsed="false">
      <c r="A15" s="2" t="s">
        <v>14</v>
      </c>
      <c r="B15" s="2" t="n">
        <f aca="false">COUNTIF('Issues Tracker'!H2:H24,"Blocked")</f>
        <v>0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3" t="s">
        <v>15</v>
      </c>
      <c r="B17" s="2"/>
    </row>
    <row r="18" customFormat="false" ht="15" hidden="false" customHeight="false" outlineLevel="0" collapsed="false">
      <c r="A18" s="2" t="s">
        <v>16</v>
      </c>
      <c r="B18" s="2" t="s">
        <v>17</v>
      </c>
    </row>
    <row r="19" customFormat="false" ht="15" hidden="false" customHeight="false" outlineLevel="0" collapsed="false">
      <c r="A19" s="2" t="s">
        <v>18</v>
      </c>
      <c r="B19" s="2" t="s">
        <v>19</v>
      </c>
    </row>
    <row r="20" customFormat="false" ht="15" hidden="false" customHeight="false" outlineLevel="0" collapsed="false">
      <c r="A20" s="2" t="s">
        <v>20</v>
      </c>
      <c r="B20" s="2" t="s">
        <v>21</v>
      </c>
    </row>
    <row r="21" customFormat="false" ht="15" hidden="false" customHeight="false" outlineLevel="0" collapsed="false">
      <c r="A21" s="2" t="s">
        <v>22</v>
      </c>
      <c r="B2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8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13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customFormat="false" ht="69.75" hidden="false" customHeight="true" outlineLevel="0" collapsed="false">
      <c r="A2" s="5" t="n">
        <v>1</v>
      </c>
      <c r="B2" s="6" t="s">
        <v>32</v>
      </c>
      <c r="C2" s="6" t="s">
        <v>33</v>
      </c>
      <c r="D2" s="7" t="s">
        <v>7</v>
      </c>
      <c r="E2" s="6" t="s">
        <v>34</v>
      </c>
      <c r="F2" s="8" t="n">
        <v>46132</v>
      </c>
      <c r="G2" s="8" t="n">
        <v>46132</v>
      </c>
      <c r="H2" s="9" t="s">
        <v>11</v>
      </c>
    </row>
    <row r="3" customFormat="false" ht="69.75" hidden="false" customHeight="true" outlineLevel="0" collapsed="false">
      <c r="A3" s="5" t="n">
        <v>2</v>
      </c>
      <c r="B3" s="6" t="s">
        <v>35</v>
      </c>
      <c r="C3" s="6" t="s">
        <v>36</v>
      </c>
      <c r="D3" s="7" t="s">
        <v>7</v>
      </c>
      <c r="E3" s="6" t="s">
        <v>37</v>
      </c>
      <c r="F3" s="8" t="n">
        <v>46132</v>
      </c>
      <c r="G3" s="8" t="n">
        <v>46132</v>
      </c>
      <c r="H3" s="9" t="s">
        <v>11</v>
      </c>
    </row>
    <row r="4" customFormat="false" ht="69.75" hidden="false" customHeight="true" outlineLevel="0" collapsed="false">
      <c r="A4" s="5" t="n">
        <v>3</v>
      </c>
      <c r="B4" s="6" t="s">
        <v>38</v>
      </c>
      <c r="C4" s="6" t="s">
        <v>39</v>
      </c>
      <c r="D4" s="7" t="s">
        <v>7</v>
      </c>
      <c r="E4" s="6" t="s">
        <v>37</v>
      </c>
      <c r="F4" s="8" t="n">
        <v>46133</v>
      </c>
      <c r="G4" s="8" t="n">
        <v>46133</v>
      </c>
      <c r="H4" s="9" t="s">
        <v>11</v>
      </c>
    </row>
    <row r="5" customFormat="false" ht="69.75" hidden="false" customHeight="true" outlineLevel="0" collapsed="false">
      <c r="A5" s="5" t="n">
        <v>4</v>
      </c>
      <c r="B5" s="6" t="s">
        <v>40</v>
      </c>
      <c r="C5" s="6" t="s">
        <v>41</v>
      </c>
      <c r="D5" s="7" t="s">
        <v>7</v>
      </c>
      <c r="E5" s="6" t="s">
        <v>37</v>
      </c>
      <c r="F5" s="8" t="n">
        <v>46134</v>
      </c>
      <c r="G5" s="8" t="n">
        <v>46134</v>
      </c>
      <c r="H5" s="9" t="s">
        <v>11</v>
      </c>
    </row>
    <row r="6" customFormat="false" ht="69.75" hidden="false" customHeight="true" outlineLevel="0" collapsed="false">
      <c r="A6" s="5" t="n">
        <v>5</v>
      </c>
      <c r="B6" s="6" t="s">
        <v>42</v>
      </c>
      <c r="C6" s="6" t="s">
        <v>43</v>
      </c>
      <c r="D6" s="7" t="s">
        <v>7</v>
      </c>
      <c r="E6" s="6" t="s">
        <v>44</v>
      </c>
      <c r="F6" s="8" t="n">
        <v>46135</v>
      </c>
      <c r="G6" s="8" t="n">
        <v>46135</v>
      </c>
      <c r="H6" s="9" t="s">
        <v>11</v>
      </c>
    </row>
    <row r="7" customFormat="false" ht="69.75" hidden="false" customHeight="true" outlineLevel="0" collapsed="false">
      <c r="A7" s="5" t="n">
        <v>6</v>
      </c>
      <c r="B7" s="6" t="s">
        <v>45</v>
      </c>
      <c r="C7" s="6" t="s">
        <v>46</v>
      </c>
      <c r="D7" s="10" t="s">
        <v>8</v>
      </c>
      <c r="E7" s="6" t="s">
        <v>37</v>
      </c>
      <c r="F7" s="8" t="n">
        <v>46139</v>
      </c>
      <c r="G7" s="8" t="n">
        <v>46139</v>
      </c>
      <c r="H7" s="9" t="s">
        <v>11</v>
      </c>
    </row>
    <row r="8" customFormat="false" ht="69.75" hidden="false" customHeight="true" outlineLevel="0" collapsed="false">
      <c r="A8" s="5" t="n">
        <v>7</v>
      </c>
      <c r="B8" s="6" t="s">
        <v>47</v>
      </c>
      <c r="C8" s="6" t="s">
        <v>48</v>
      </c>
      <c r="D8" s="10" t="s">
        <v>8</v>
      </c>
      <c r="E8" s="6" t="s">
        <v>49</v>
      </c>
      <c r="F8" s="8" t="n">
        <v>46140</v>
      </c>
      <c r="G8" s="8" t="n">
        <v>46140</v>
      </c>
      <c r="H8" s="9" t="s">
        <v>11</v>
      </c>
    </row>
    <row r="9" customFormat="false" ht="69.75" hidden="false" customHeight="true" outlineLevel="0" collapsed="false">
      <c r="A9" s="5" t="n">
        <v>8</v>
      </c>
      <c r="B9" s="6" t="s">
        <v>50</v>
      </c>
      <c r="C9" s="6" t="s">
        <v>51</v>
      </c>
      <c r="D9" s="10" t="s">
        <v>8</v>
      </c>
      <c r="E9" s="6" t="s">
        <v>37</v>
      </c>
      <c r="F9" s="8" t="n">
        <v>46140</v>
      </c>
      <c r="G9" s="8" t="n">
        <v>46140</v>
      </c>
      <c r="H9" s="9" t="s">
        <v>11</v>
      </c>
    </row>
    <row r="10" customFormat="false" ht="69.75" hidden="false" customHeight="true" outlineLevel="0" collapsed="false">
      <c r="A10" s="5" t="n">
        <v>9</v>
      </c>
      <c r="B10" s="6" t="s">
        <v>52</v>
      </c>
      <c r="C10" s="6" t="s">
        <v>53</v>
      </c>
      <c r="D10" s="10" t="s">
        <v>8</v>
      </c>
      <c r="E10" s="6" t="s">
        <v>37</v>
      </c>
      <c r="F10" s="8" t="n">
        <v>46141</v>
      </c>
      <c r="G10" s="8" t="n">
        <v>46141</v>
      </c>
      <c r="H10" s="9" t="s">
        <v>11</v>
      </c>
    </row>
    <row r="11" customFormat="false" ht="69.75" hidden="false" customHeight="true" outlineLevel="0" collapsed="false">
      <c r="A11" s="5" t="n">
        <v>10</v>
      </c>
      <c r="B11" s="6" t="s">
        <v>54</v>
      </c>
      <c r="C11" s="6" t="s">
        <v>55</v>
      </c>
      <c r="D11" s="10" t="s">
        <v>8</v>
      </c>
      <c r="E11" s="6" t="s">
        <v>56</v>
      </c>
      <c r="F11" s="8" t="n">
        <v>46141</v>
      </c>
      <c r="G11" s="8" t="n">
        <v>46141</v>
      </c>
      <c r="H11" s="9" t="s">
        <v>11</v>
      </c>
    </row>
    <row r="12" customFormat="false" ht="69.75" hidden="false" customHeight="true" outlineLevel="0" collapsed="false">
      <c r="A12" s="5" t="n">
        <v>11</v>
      </c>
      <c r="B12" s="6" t="s">
        <v>57</v>
      </c>
      <c r="C12" s="6" t="s">
        <v>58</v>
      </c>
      <c r="D12" s="10" t="s">
        <v>8</v>
      </c>
      <c r="E12" s="6" t="s">
        <v>59</v>
      </c>
      <c r="F12" s="8" t="n">
        <v>46142</v>
      </c>
      <c r="G12" s="8" t="n">
        <v>46142</v>
      </c>
      <c r="H12" s="9" t="s">
        <v>11</v>
      </c>
    </row>
    <row r="13" customFormat="false" ht="69.75" hidden="false" customHeight="true" outlineLevel="0" collapsed="false">
      <c r="A13" s="5" t="n">
        <v>12</v>
      </c>
      <c r="B13" s="6" t="s">
        <v>60</v>
      </c>
      <c r="C13" s="6" t="s">
        <v>61</v>
      </c>
      <c r="D13" s="10" t="s">
        <v>8</v>
      </c>
      <c r="E13" s="6" t="s">
        <v>49</v>
      </c>
      <c r="F13" s="8" t="n">
        <v>46142</v>
      </c>
      <c r="G13" s="8" t="n">
        <v>46142</v>
      </c>
      <c r="H13" s="9" t="s">
        <v>11</v>
      </c>
    </row>
    <row r="14" customFormat="false" ht="69.75" hidden="false" customHeight="true" outlineLevel="0" collapsed="false">
      <c r="A14" s="5" t="n">
        <v>13</v>
      </c>
      <c r="B14" s="6" t="s">
        <v>62</v>
      </c>
      <c r="C14" s="6" t="s">
        <v>63</v>
      </c>
      <c r="D14" s="10" t="s">
        <v>8</v>
      </c>
      <c r="E14" s="6" t="s">
        <v>37</v>
      </c>
      <c r="F14" s="8" t="n">
        <v>46143</v>
      </c>
      <c r="G14" s="8" t="n">
        <v>46143</v>
      </c>
      <c r="H14" s="9" t="s">
        <v>11</v>
      </c>
    </row>
    <row r="15" customFormat="false" ht="69.75" hidden="false" customHeight="true" outlineLevel="0" collapsed="false">
      <c r="A15" s="5" t="n">
        <v>14</v>
      </c>
      <c r="B15" s="6" t="s">
        <v>64</v>
      </c>
      <c r="C15" s="6" t="s">
        <v>65</v>
      </c>
      <c r="D15" s="7" t="s">
        <v>7</v>
      </c>
      <c r="E15" s="6" t="s">
        <v>66</v>
      </c>
      <c r="F15" s="8" t="n">
        <v>46146</v>
      </c>
      <c r="G15" s="8" t="n">
        <v>46150</v>
      </c>
      <c r="H15" s="9" t="s">
        <v>11</v>
      </c>
    </row>
    <row r="16" customFormat="false" ht="69.75" hidden="false" customHeight="true" outlineLevel="0" collapsed="false">
      <c r="A16" s="5" t="n">
        <v>15</v>
      </c>
      <c r="B16" s="6" t="s">
        <v>67</v>
      </c>
      <c r="C16" s="6" t="s">
        <v>68</v>
      </c>
      <c r="D16" s="10" t="s">
        <v>8</v>
      </c>
      <c r="E16" s="6" t="s">
        <v>37</v>
      </c>
      <c r="F16" s="8" t="n">
        <v>46153</v>
      </c>
      <c r="G16" s="8" t="n">
        <v>46155</v>
      </c>
      <c r="H16" s="9" t="s">
        <v>11</v>
      </c>
    </row>
    <row r="17" customFormat="false" ht="69.75" hidden="false" customHeight="true" outlineLevel="0" collapsed="false">
      <c r="A17" s="5" t="n">
        <v>16</v>
      </c>
      <c r="B17" s="6" t="s">
        <v>69</v>
      </c>
      <c r="C17" s="6" t="s">
        <v>70</v>
      </c>
      <c r="D17" s="7" t="s">
        <v>7</v>
      </c>
      <c r="E17" s="6" t="s">
        <v>37</v>
      </c>
      <c r="F17" s="8" t="n">
        <v>46153</v>
      </c>
      <c r="G17" s="8" t="n">
        <v>46157</v>
      </c>
      <c r="H17" s="9" t="s">
        <v>11</v>
      </c>
    </row>
    <row r="18" customFormat="false" ht="69.75" hidden="false" customHeight="true" outlineLevel="0" collapsed="false">
      <c r="A18" s="5" t="n">
        <v>17</v>
      </c>
      <c r="B18" s="6" t="s">
        <v>71</v>
      </c>
      <c r="C18" s="6" t="s">
        <v>72</v>
      </c>
      <c r="D18" s="10" t="s">
        <v>8</v>
      </c>
      <c r="E18" s="6" t="s">
        <v>37</v>
      </c>
      <c r="F18" s="8" t="n">
        <v>46160</v>
      </c>
      <c r="G18" s="8" t="n">
        <v>46162</v>
      </c>
      <c r="H18" s="9" t="s">
        <v>11</v>
      </c>
    </row>
    <row r="19" customFormat="false" ht="69.75" hidden="false" customHeight="true" outlineLevel="0" collapsed="false">
      <c r="A19" s="5" t="n">
        <v>18</v>
      </c>
      <c r="B19" s="6" t="s">
        <v>73</v>
      </c>
      <c r="C19" s="6" t="s">
        <v>74</v>
      </c>
      <c r="D19" s="10" t="s">
        <v>8</v>
      </c>
      <c r="E19" s="6" t="s">
        <v>75</v>
      </c>
      <c r="F19" s="8" t="n">
        <v>46160</v>
      </c>
      <c r="G19" s="8" t="n">
        <v>46164</v>
      </c>
      <c r="H19" s="9" t="s">
        <v>11</v>
      </c>
    </row>
    <row r="20" customFormat="false" ht="69.75" hidden="false" customHeight="true" outlineLevel="0" collapsed="false">
      <c r="A20" s="5" t="n">
        <v>19</v>
      </c>
      <c r="B20" s="6" t="s">
        <v>76</v>
      </c>
      <c r="C20" s="6" t="s">
        <v>77</v>
      </c>
      <c r="D20" s="11" t="s">
        <v>9</v>
      </c>
      <c r="E20" s="6" t="s">
        <v>37</v>
      </c>
      <c r="F20" s="8" t="n">
        <v>46167</v>
      </c>
      <c r="G20" s="8" t="n">
        <v>46167</v>
      </c>
      <c r="H20" s="9" t="s">
        <v>11</v>
      </c>
    </row>
    <row r="21" customFormat="false" ht="69.75" hidden="false" customHeight="true" outlineLevel="0" collapsed="false">
      <c r="A21" s="5" t="n">
        <v>20</v>
      </c>
      <c r="B21" s="6" t="s">
        <v>78</v>
      </c>
      <c r="C21" s="6" t="s">
        <v>79</v>
      </c>
      <c r="D21" s="11" t="s">
        <v>9</v>
      </c>
      <c r="E21" s="6" t="s">
        <v>80</v>
      </c>
      <c r="F21" s="8" t="n">
        <v>46167</v>
      </c>
      <c r="G21" s="8" t="n">
        <v>46167</v>
      </c>
      <c r="H21" s="9" t="s">
        <v>11</v>
      </c>
    </row>
    <row r="22" customFormat="false" ht="69.75" hidden="false" customHeight="true" outlineLevel="0" collapsed="false">
      <c r="A22" s="5" t="n">
        <v>21</v>
      </c>
      <c r="B22" s="6" t="s">
        <v>81</v>
      </c>
      <c r="C22" s="6" t="s">
        <v>82</v>
      </c>
      <c r="D22" s="11" t="s">
        <v>9</v>
      </c>
      <c r="E22" s="6" t="s">
        <v>37</v>
      </c>
      <c r="F22" s="8" t="n">
        <v>46168</v>
      </c>
      <c r="G22" s="8" t="n">
        <v>46168</v>
      </c>
      <c r="H22" s="9" t="s">
        <v>11</v>
      </c>
    </row>
    <row r="23" customFormat="false" ht="69.75" hidden="false" customHeight="true" outlineLevel="0" collapsed="false">
      <c r="A23" s="5" t="n">
        <v>22</v>
      </c>
      <c r="B23" s="6" t="s">
        <v>83</v>
      </c>
      <c r="C23" s="6" t="s">
        <v>84</v>
      </c>
      <c r="D23" s="11" t="s">
        <v>9</v>
      </c>
      <c r="E23" s="6" t="s">
        <v>37</v>
      </c>
      <c r="F23" s="8" t="n">
        <v>46169</v>
      </c>
      <c r="G23" s="8" t="n">
        <v>46169</v>
      </c>
      <c r="H23" s="9" t="s">
        <v>11</v>
      </c>
    </row>
    <row r="24" customFormat="false" ht="69.75" hidden="false" customHeight="true" outlineLevel="0" collapsed="false">
      <c r="A24" s="5" t="n">
        <v>23</v>
      </c>
      <c r="B24" s="6" t="s">
        <v>85</v>
      </c>
      <c r="C24" s="6" t="s">
        <v>86</v>
      </c>
      <c r="D24" s="11" t="s">
        <v>9</v>
      </c>
      <c r="E24" s="6" t="s">
        <v>56</v>
      </c>
      <c r="F24" s="8" t="n">
        <v>46174</v>
      </c>
      <c r="G24" s="8" t="n">
        <v>46203</v>
      </c>
      <c r="H24" s="9" t="s">
        <v>11</v>
      </c>
    </row>
  </sheetData>
  <autoFilter ref="A1:H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2026-04-18T17:56:56Z</dcterms:created>
  <dc:creator>openpyxl</dc:creator>
  <dc:description/>
  <dc:language>en-US</dc:language>
  <cp:lastModifiedBy/>
  <dcterms:modified xsi:type="dcterms:W3CDTF">2026-04-18T17:56:56Z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